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we\AE4115-23_EXPERIMENTAL SIMULATIONS\Group_15_Redo_BAL\CORRECTIONS_V2\"/>
    </mc:Choice>
  </mc:AlternateContent>
  <xr:revisionPtr revIDLastSave="0" documentId="13_ncr:1_{BF75C0B0-C47C-4CC2-B12D-76BD2E8A3F07}" xr6:coauthVersionLast="47" xr6:coauthVersionMax="47" xr10:uidLastSave="{00000000-0000-0000-0000-000000000000}"/>
  <bookViews>
    <workbookView xWindow="3864" yWindow="2040" windowWidth="17280" windowHeight="9960" activeTab="3" xr2:uid="{6779DE78-6A77-4C37-B946-ECD2BA7E5752}"/>
  </bookViews>
  <sheets>
    <sheet name="solid_body_blockage" sheetId="1" r:id="rId1"/>
    <sheet name="PROP" sheetId="2" r:id="rId2"/>
    <sheet name="WING" sheetId="4" r:id="rId3"/>
    <sheet name="tail_correction" sheetId="10" r:id="rId4"/>
    <sheet name="FUSELAGE" sheetId="5" r:id="rId5"/>
    <sheet name="HORIZONTAL_TAIL" sheetId="6" r:id="rId6"/>
    <sheet name="VERTICAL_TAIL" sheetId="7" r:id="rId7"/>
    <sheet name="TUNNEL" sheetId="8" r:id="rId8"/>
    <sheet name="STRUT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B12" i="10"/>
  <c r="G37" i="1"/>
  <c r="B11" i="1"/>
  <c r="B33" i="1" s="1"/>
  <c r="G33" i="1" s="1"/>
  <c r="G35" i="1" s="1"/>
  <c r="G28" i="1"/>
  <c r="G29" i="1"/>
  <c r="G30" i="1"/>
  <c r="G31" i="1"/>
  <c r="G32" i="1"/>
  <c r="G34" i="1"/>
  <c r="F29" i="1"/>
  <c r="F30" i="1"/>
  <c r="F31" i="1"/>
  <c r="F32" i="1"/>
  <c r="F33" i="1"/>
  <c r="F34" i="1"/>
  <c r="F28" i="1"/>
  <c r="E34" i="1"/>
  <c r="E33" i="1"/>
  <c r="E32" i="1"/>
  <c r="E31" i="1"/>
  <c r="E30" i="1"/>
  <c r="E29" i="1"/>
  <c r="E28" i="1"/>
  <c r="D34" i="1"/>
  <c r="D33" i="1"/>
  <c r="D32" i="1"/>
  <c r="D31" i="1"/>
  <c r="D30" i="1"/>
  <c r="D29" i="1"/>
  <c r="D28" i="1"/>
  <c r="B34" i="1"/>
  <c r="B32" i="1"/>
  <c r="B31" i="1"/>
  <c r="B30" i="1"/>
  <c r="B29" i="1"/>
  <c r="B28" i="1"/>
  <c r="I11" i="1"/>
  <c r="D11" i="1"/>
  <c r="L11" i="1" s="1"/>
  <c r="C11" i="1"/>
  <c r="J21" i="1"/>
  <c r="L12" i="1"/>
  <c r="B25" i="9"/>
  <c r="B5" i="9"/>
  <c r="B6" i="9" s="1"/>
  <c r="C12" i="1"/>
  <c r="I12" i="1"/>
  <c r="D12" i="1"/>
  <c r="F21" i="1"/>
  <c r="F20" i="1"/>
  <c r="L6" i="1"/>
  <c r="J9" i="1"/>
  <c r="E9" i="1"/>
  <c r="L5" i="1"/>
  <c r="L4" i="1"/>
  <c r="J8" i="1"/>
  <c r="B20" i="1"/>
  <c r="B19" i="1"/>
  <c r="B21" i="1"/>
  <c r="B22" i="1"/>
  <c r="B8" i="8"/>
  <c r="B7" i="8"/>
  <c r="B6" i="8"/>
</calcChain>
</file>

<file path=xl/sharedStrings.xml><?xml version="1.0" encoding="utf-8"?>
<sst xmlns="http://schemas.openxmlformats.org/spreadsheetml/2006/main" count="308" uniqueCount="174">
  <si>
    <t>Body</t>
  </si>
  <si>
    <t>main wing</t>
  </si>
  <si>
    <t>fuselage</t>
  </si>
  <si>
    <t>horizantal tail</t>
  </si>
  <si>
    <t>vertical tail</t>
  </si>
  <si>
    <t>main struts</t>
  </si>
  <si>
    <t>aft strut</t>
  </si>
  <si>
    <t>volume</t>
  </si>
  <si>
    <t>length</t>
  </si>
  <si>
    <t>volume [m^3]</t>
  </si>
  <si>
    <t>span [m]</t>
  </si>
  <si>
    <t>length [m]</t>
  </si>
  <si>
    <t>diameter [m]</t>
  </si>
  <si>
    <t>MAC [m]</t>
  </si>
  <si>
    <t>area [m^2]</t>
  </si>
  <si>
    <t>airfoil</t>
  </si>
  <si>
    <t>NA</t>
  </si>
  <si>
    <t>DU 96-150</t>
  </si>
  <si>
    <t>NACA 0015</t>
  </si>
  <si>
    <t>NACA 642A015</t>
  </si>
  <si>
    <t>Parameter</t>
  </si>
  <si>
    <t>Value</t>
  </si>
  <si>
    <t>Length</t>
  </si>
  <si>
    <t>1.342 m</t>
  </si>
  <si>
    <t>Diameter</t>
  </si>
  <si>
    <t>0.140 m</t>
  </si>
  <si>
    <t>Volume</t>
  </si>
  <si>
    <t>0.0160632 m^3</t>
  </si>
  <si>
    <t>Volume aft support strut (estimate)</t>
  </si>
  <si>
    <t>0.0004491 m^3</t>
  </si>
  <si>
    <t>Volume of wing support struts (estimate for both struts together)</t>
  </si>
  <si>
    <t>0.0035296 m^3</t>
  </si>
  <si>
    <t>Span</t>
  </si>
  <si>
    <t>1.397 m</t>
  </si>
  <si>
    <t>Area</t>
  </si>
  <si>
    <t>0.2172 m^2</t>
  </si>
  <si>
    <t>Mean aerodynamic chord</t>
  </si>
  <si>
    <t>0.165 m</t>
  </si>
  <si>
    <t>Aspect ratio</t>
  </si>
  <si>
    <t>8.98</t>
  </si>
  <si>
    <t>Taper ratio</t>
  </si>
  <si>
    <t>0.40</t>
  </si>
  <si>
    <t>Sweep angle at 0.25c</t>
  </si>
  <si>
    <t>0 deg</t>
  </si>
  <si>
    <t>Incidence angle</t>
  </si>
  <si>
    <t>Dihedral angle</t>
  </si>
  <si>
    <t>4 deg</t>
  </si>
  <si>
    <t>Twist</t>
  </si>
  <si>
    <t>2 deg</t>
  </si>
  <si>
    <t>Airfoil (constant over span)</t>
  </si>
  <si>
    <t>Aileron span</t>
  </si>
  <si>
    <t>0.197 m</t>
  </si>
  <si>
    <t>Aileron spanwise position</t>
  </si>
  <si>
    <t>0.71 &lt; y/(b/2) &lt; 0.99</t>
  </si>
  <si>
    <t>Aileron chord</t>
  </si>
  <si>
    <t>0.029 m</t>
  </si>
  <si>
    <t>Flap span (per side)</t>
  </si>
  <si>
    <t>0.369 m</t>
  </si>
  <si>
    <t>Flap chord</t>
  </si>
  <si>
    <t>0.060 m</t>
  </si>
  <si>
    <t>Wing 0.25c from fuselage nose</t>
  </si>
  <si>
    <t>0.680 m</t>
  </si>
  <si>
    <t>0.0030229 m^3</t>
  </si>
  <si>
    <t>Number of blades</t>
  </si>
  <si>
    <t>6</t>
  </si>
  <si>
    <t>0.2032 m</t>
  </si>
  <si>
    <t>Pitch angle at r/R=0.7</t>
  </si>
  <si>
    <t>45 deg</t>
  </si>
  <si>
    <t>Rotation direction (from rear)</t>
  </si>
  <si>
    <t>CW (2x)</t>
  </si>
  <si>
    <t>Span (without rounded tip)</t>
  </si>
  <si>
    <t>0.576 m</t>
  </si>
  <si>
    <t>Area (without rounded tip)</t>
  </si>
  <si>
    <t>0.0858 m^2</t>
  </si>
  <si>
    <t>0.149 m</t>
  </si>
  <si>
    <t>3.87</t>
  </si>
  <si>
    <t>1.00</t>
  </si>
  <si>
    <t>6 deg</t>
  </si>
  <si>
    <t>NACA 64A015</t>
  </si>
  <si>
    <t>Elevator chord</t>
  </si>
  <si>
    <t>0.25c_ht</t>
  </si>
  <si>
    <t>Elevator span</t>
  </si>
  <si>
    <t>0.148 m / inboard-outboard 0.049 m</t>
  </si>
  <si>
    <t>Elevator deflection range</t>
  </si>
  <si>
    <t>±25 deg</t>
  </si>
  <si>
    <t>Nacelle length</t>
  </si>
  <si>
    <t>0.345 m</t>
  </si>
  <si>
    <t>Spinner length</t>
  </si>
  <si>
    <t>0.0485 m</t>
  </si>
  <si>
    <t>Tail arm (tail c/4 to wing c/4)</t>
  </si>
  <si>
    <t>0.535 m</t>
  </si>
  <si>
    <t>Volume (without nacelle)</t>
  </si>
  <si>
    <t>0.0009751 m^3</t>
  </si>
  <si>
    <t>Volume 1 nacelle</t>
  </si>
  <si>
    <t>0.0007921 m^3</t>
  </si>
  <si>
    <t>0.258 m</t>
  </si>
  <si>
    <t>0.0415 m^2</t>
  </si>
  <si>
    <t>0.170 m</t>
  </si>
  <si>
    <t>1.606</t>
  </si>
  <si>
    <t>0.43</t>
  </si>
  <si>
    <t>33 deg</t>
  </si>
  <si>
    <t>Rudder chord root</t>
  </si>
  <si>
    <t>0.0642 m</t>
  </si>
  <si>
    <t>Rudder chord tip</t>
  </si>
  <si>
    <t>0.0438 m</t>
  </si>
  <si>
    <t>Rudder span</t>
  </si>
  <si>
    <t>0.182 m</t>
  </si>
  <si>
    <t>Rudder deflection range</t>
  </si>
  <si>
    <t>±20 deg</t>
  </si>
  <si>
    <t>Tail arm (tailplane 0.25c to wing 0.25c)</t>
  </si>
  <si>
    <t>0.543 m</t>
  </si>
  <si>
    <t>0.0003546 m^3</t>
  </si>
  <si>
    <t>t/c</t>
  </si>
  <si>
    <t>width</t>
  </si>
  <si>
    <t>height</t>
  </si>
  <si>
    <t>corner</t>
  </si>
  <si>
    <t>corner cutout area</t>
  </si>
  <si>
    <t>tunnel area</t>
  </si>
  <si>
    <t>value</t>
  </si>
  <si>
    <t>unit</t>
  </si>
  <si>
    <t>m</t>
  </si>
  <si>
    <t>m^2</t>
  </si>
  <si>
    <t>B/H</t>
  </si>
  <si>
    <t>Cicular bodies</t>
  </si>
  <si>
    <t>Struts</t>
  </si>
  <si>
    <t>Wings</t>
  </si>
  <si>
    <t>Unit</t>
  </si>
  <si>
    <t>B (width)</t>
  </si>
  <si>
    <t>H (height)</t>
  </si>
  <si>
    <t>C (Area)</t>
  </si>
  <si>
    <t>m^3</t>
  </si>
  <si>
    <t>[-]</t>
  </si>
  <si>
    <t>Tunnel</t>
  </si>
  <si>
    <t>d/l</t>
  </si>
  <si>
    <t>K line type</t>
  </si>
  <si>
    <t>2b/B</t>
  </si>
  <si>
    <t>B/H line</t>
  </si>
  <si>
    <t>K</t>
  </si>
  <si>
    <t>tau</t>
  </si>
  <si>
    <t>Derived quantities</t>
  </si>
  <si>
    <t>Final</t>
  </si>
  <si>
    <t>4 digit</t>
  </si>
  <si>
    <t>S.B.R</t>
  </si>
  <si>
    <t>Aft strut</t>
  </si>
  <si>
    <t>thickness</t>
  </si>
  <si>
    <t>Chord</t>
  </si>
  <si>
    <t>mm</t>
  </si>
  <si>
    <t>Some NACA 4 digit</t>
  </si>
  <si>
    <t>Wing struts</t>
  </si>
  <si>
    <t>Symmetric</t>
  </si>
  <si>
    <t>body</t>
  </si>
  <si>
    <t>multiplier</t>
  </si>
  <si>
    <t>C</t>
  </si>
  <si>
    <t>ϵ (blockage)</t>
  </si>
  <si>
    <t>horizontal tail</t>
  </si>
  <si>
    <t>motor nacelle</t>
  </si>
  <si>
    <t>motor nacelle (1x)</t>
  </si>
  <si>
    <t>Final blockage calculations</t>
  </si>
  <si>
    <t>Final blockage</t>
  </si>
  <si>
    <t>main struts (1X)</t>
  </si>
  <si>
    <t>Values used in solid blockage calculations</t>
  </si>
  <si>
    <t>Final TailOff</t>
  </si>
  <si>
    <t>AR_wing</t>
  </si>
  <si>
    <t>S_wing</t>
  </si>
  <si>
    <t>MAC_wing</t>
  </si>
  <si>
    <t>AR_tail</t>
  </si>
  <si>
    <t>S_tail</t>
  </si>
  <si>
    <t>Length_tail</t>
  </si>
  <si>
    <t>Wing</t>
  </si>
  <si>
    <t>Tail</t>
  </si>
  <si>
    <t>[m^2]</t>
  </si>
  <si>
    <t>[m]</t>
  </si>
  <si>
    <t>(q_t/q)* a_t</t>
  </si>
  <si>
    <t>dCm_0.25c / da_t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</si>
</sst>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5" xfId="1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17" xfId="0" applyBorder="1"/>
    <xf numFmtId="0" fontId="0" fillId="2" borderId="2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8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0" fillId="0" borderId="21" xfId="0" applyBorder="1"/>
    <xf numFmtId="0" fontId="0" fillId="0" borderId="22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2" fillId="0" borderId="1" xfId="0" applyFont="1" applyBorder="1"/>
    <xf numFmtId="0" fontId="0" fillId="0" borderId="28" xfId="0" applyBorder="1"/>
    <xf numFmtId="0" fontId="0" fillId="0" borderId="29" xfId="0" applyBorder="1"/>
    <xf numFmtId="0" fontId="2" fillId="0" borderId="2" xfId="0" applyFont="1" applyBorder="1"/>
    <xf numFmtId="0" fontId="2" fillId="0" borderId="8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0" fillId="0" borderId="34" xfId="0" applyBorder="1"/>
    <xf numFmtId="0" fontId="0" fillId="0" borderId="35" xfId="0" applyBorder="1"/>
    <xf numFmtId="0" fontId="3" fillId="0" borderId="19" xfId="0" applyFont="1" applyBorder="1" applyAlignment="1">
      <alignment horizontal="left"/>
    </xf>
    <xf numFmtId="0" fontId="0" fillId="2" borderId="29" xfId="0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164" fontId="0" fillId="0" borderId="2" xfId="0" applyNumberFormat="1" applyBorder="1"/>
    <xf numFmtId="164" fontId="0" fillId="0" borderId="2" xfId="0" applyNumberFormat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0" fillId="0" borderId="1" xfId="0" applyNumberFormat="1" applyBorder="1"/>
    <xf numFmtId="164" fontId="0" fillId="0" borderId="27" xfId="0" applyNumberFormat="1" applyBorder="1"/>
    <xf numFmtId="164" fontId="0" fillId="0" borderId="28" xfId="0" applyNumberFormat="1" applyBorder="1"/>
    <xf numFmtId="0" fontId="2" fillId="6" borderId="21" xfId="0" applyFont="1" applyFill="1" applyBorder="1" applyAlignment="1">
      <alignment horizontal="left"/>
    </xf>
    <xf numFmtId="0" fontId="2" fillId="6" borderId="22" xfId="0" applyFont="1" applyFill="1" applyBorder="1" applyAlignment="1">
      <alignment horizontal="left"/>
    </xf>
    <xf numFmtId="0" fontId="4" fillId="0" borderId="0" xfId="0" applyFont="1"/>
    <xf numFmtId="0" fontId="0" fillId="0" borderId="36" xfId="0" applyBorder="1"/>
    <xf numFmtId="0" fontId="0" fillId="0" borderId="22" xfId="0" applyBorder="1"/>
    <xf numFmtId="0" fontId="4" fillId="0" borderId="25" xfId="0" applyFont="1" applyBorder="1"/>
    <xf numFmtId="0" fontId="0" fillId="0" borderId="37" xfId="0" applyBorder="1"/>
    <xf numFmtId="0" fontId="2" fillId="0" borderId="0" xfId="0" applyFont="1"/>
    <xf numFmtId="0" fontId="0" fillId="0" borderId="39" xfId="0" applyBorder="1"/>
    <xf numFmtId="0" fontId="2" fillId="9" borderId="32" xfId="0" applyFont="1" applyFill="1" applyBorder="1"/>
    <xf numFmtId="0" fontId="0" fillId="9" borderId="31" xfId="0" applyFill="1" applyBorder="1"/>
    <xf numFmtId="0" fontId="2" fillId="7" borderId="38" xfId="0" applyFont="1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0" fillId="10" borderId="32" xfId="0" applyFill="1" applyBorder="1"/>
    <xf numFmtId="0" fontId="4" fillId="10" borderId="33" xfId="0" applyFont="1" applyFill="1" applyBorder="1"/>
    <xf numFmtId="0" fontId="0" fillId="11" borderId="18" xfId="0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11" borderId="40" xfId="0" applyFont="1" applyFill="1" applyBorder="1" applyAlignment="1">
      <alignment horizontal="center"/>
    </xf>
    <xf numFmtId="0" fontId="2" fillId="10" borderId="41" xfId="0" applyFont="1" applyFill="1" applyBorder="1"/>
    <xf numFmtId="0" fontId="0" fillId="10" borderId="42" xfId="0" applyFill="1" applyBorder="1"/>
    <xf numFmtId="0" fontId="2" fillId="10" borderId="43" xfId="0" applyFont="1" applyFill="1" applyBorder="1"/>
    <xf numFmtId="0" fontId="0" fillId="10" borderId="44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302837</xdr:colOff>
      <xdr:row>1</xdr:row>
      <xdr:rowOff>116477</xdr:rowOff>
    </xdr:from>
    <xdr:to>
      <xdr:col>33</xdr:col>
      <xdr:colOff>264874</xdr:colOff>
      <xdr:row>32</xdr:row>
      <xdr:rowOff>168547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5C5B7F-6600-9AB9-F376-98C0C4B3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3237" y="301534"/>
          <a:ext cx="5448437" cy="5914209"/>
        </a:xfrm>
        <a:prstGeom prst="rect">
          <a:avLst/>
        </a:prstGeom>
      </xdr:spPr>
    </xdr:pic>
    <xdr:clientData/>
  </xdr:twoCellAnchor>
  <xdr:twoCellAnchor editAs="oneCell">
    <xdr:from>
      <xdr:col>24</xdr:col>
      <xdr:colOff>413657</xdr:colOff>
      <xdr:row>37</xdr:row>
      <xdr:rowOff>16328</xdr:rowOff>
    </xdr:from>
    <xdr:to>
      <xdr:col>38</xdr:col>
      <xdr:colOff>592038</xdr:colOff>
      <xdr:row>64</xdr:row>
      <xdr:rowOff>171615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A9D670-8BF4-203C-FFEF-E18E3DBD8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4057" y="6678385"/>
          <a:ext cx="8716591" cy="5148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548640</xdr:colOff>
      <xdr:row>0</xdr:row>
      <xdr:rowOff>121920</xdr:rowOff>
    </xdr:from>
    <xdr:to>
      <xdr:col>13</xdr:col>
      <xdr:colOff>6405</xdr:colOff>
      <xdr:row>19</xdr:row>
      <xdr:rowOff>105258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3F967-F61E-77BB-39A4-9FC3F7C32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960" y="121920"/>
          <a:ext cx="4944165" cy="3458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495301</xdr:colOff>
      <xdr:row>0</xdr:row>
      <xdr:rowOff>121921</xdr:rowOff>
    </xdr:from>
    <xdr:to>
      <xdr:col>10</xdr:col>
      <xdr:colOff>212180</xdr:colOff>
      <xdr:row>13</xdr:row>
      <xdr:rowOff>7621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23051-0E0C-9A79-2463-60CE19B91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1" y="121921"/>
          <a:ext cx="3374479" cy="229362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0</xdr:row>
      <xdr:rowOff>22860</xdr:rowOff>
    </xdr:from>
    <xdr:to>
      <xdr:col>27</xdr:col>
      <xdr:colOff>460739</xdr:colOff>
      <xdr:row>12</xdr:row>
      <xdr:rowOff>155703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F428BE-5957-EF29-5501-136631515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22860"/>
          <a:ext cx="10061939" cy="2357883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20</xdr:row>
      <xdr:rowOff>99061</xdr:rowOff>
    </xdr:from>
    <xdr:to>
      <xdr:col>10</xdr:col>
      <xdr:colOff>284963</xdr:colOff>
      <xdr:row>33</xdr:row>
      <xdr:rowOff>144781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875C37-D71A-FF2B-F258-71BBAE9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3700" y="3787141"/>
          <a:ext cx="3447263" cy="245364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1</xdr:rowOff>
    </xdr:from>
    <xdr:to>
      <xdr:col>19</xdr:col>
      <xdr:colOff>277977</xdr:colOff>
      <xdr:row>48</xdr:row>
      <xdr:rowOff>152401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793C045-702B-B966-7A9D-5307F1E25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3688081"/>
          <a:ext cx="3935577" cy="5303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BC68-AA17-4FD3-A537-743FAC90C685}">
  <dimension ref="A1:O37"/>
  <sheetViews>
    <sheetView topLeftCell="A10" zoomScaleNormal="100" workbookViewId="0">
      <selection activeCell="G37" sqref="G37"/>
    </sheetView>
  </sheetViews>
  <sheetFormatPr defaultRowHeight="14.4" x14ac:dyDescent="0.3"/>
  <cols>
    <col min="1" max="1" width="18.33203125" customWidth="1"/>
    <col min="2" max="2" width="15.21875" customWidth="1"/>
    <col min="3" max="3" width="12.33203125" customWidth="1"/>
    <col min="4" max="4" width="16.44140625" customWidth="1"/>
    <col min="5" max="5" width="15.109375" customWidth="1"/>
    <col min="6" max="6" width="14.44140625" customWidth="1"/>
    <col min="7" max="7" width="15.77734375" customWidth="1"/>
    <col min="8" max="8" width="18.44140625" customWidth="1"/>
    <col min="10" max="10" width="10.88671875" customWidth="1"/>
    <col min="11" max="11" width="10.5546875" customWidth="1"/>
    <col min="12" max="12" width="10.5546875" bestFit="1" customWidth="1"/>
    <col min="15" max="15" width="18.5546875" customWidth="1"/>
  </cols>
  <sheetData>
    <row r="1" spans="1:15" ht="15" thickBot="1" x14ac:dyDescent="0.35">
      <c r="A1" s="65" t="s">
        <v>160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ht="15.6" customHeight="1" thickTop="1" thickBot="1" x14ac:dyDescent="0.35">
      <c r="A2" s="8" t="s">
        <v>0</v>
      </c>
      <c r="B2" s="11" t="s">
        <v>9</v>
      </c>
      <c r="C2" s="9" t="s">
        <v>10</v>
      </c>
      <c r="D2" s="9" t="s">
        <v>11</v>
      </c>
      <c r="E2" s="9" t="s">
        <v>12</v>
      </c>
      <c r="F2" s="9" t="s">
        <v>14</v>
      </c>
      <c r="G2" s="9" t="s">
        <v>13</v>
      </c>
      <c r="H2" s="18" t="s">
        <v>15</v>
      </c>
      <c r="I2" s="30" t="s">
        <v>112</v>
      </c>
      <c r="J2" s="9" t="s">
        <v>133</v>
      </c>
      <c r="K2" s="9" t="s">
        <v>134</v>
      </c>
      <c r="L2" s="9" t="s">
        <v>135</v>
      </c>
      <c r="M2" s="9" t="s">
        <v>136</v>
      </c>
      <c r="N2" s="43" t="s">
        <v>137</v>
      </c>
      <c r="O2" s="43" t="s">
        <v>138</v>
      </c>
    </row>
    <row r="3" spans="1:15" ht="15.6" customHeight="1" thickTop="1" thickBot="1" x14ac:dyDescent="0.35">
      <c r="A3" s="75" t="s">
        <v>125</v>
      </c>
      <c r="B3" s="75"/>
      <c r="C3" s="75"/>
      <c r="D3" s="75"/>
      <c r="E3" s="75"/>
      <c r="F3" s="75"/>
      <c r="G3" s="75"/>
      <c r="H3" s="75"/>
      <c r="I3" s="76" t="s">
        <v>139</v>
      </c>
      <c r="J3" s="77"/>
      <c r="K3" s="77"/>
      <c r="L3" s="77"/>
      <c r="M3" s="77"/>
      <c r="N3" s="69" t="s">
        <v>140</v>
      </c>
      <c r="O3" s="71"/>
    </row>
    <row r="4" spans="1:15" ht="15" thickTop="1" x14ac:dyDescent="0.3">
      <c r="A4" s="13" t="s">
        <v>1</v>
      </c>
      <c r="B4" s="12">
        <v>3.0228999999999998E-3</v>
      </c>
      <c r="C4" s="2">
        <v>1.397</v>
      </c>
      <c r="D4" s="19" t="s">
        <v>16</v>
      </c>
      <c r="E4" s="19" t="s">
        <v>16</v>
      </c>
      <c r="F4" s="2">
        <v>0.2172</v>
      </c>
      <c r="G4" s="2">
        <v>0.16500000000000001</v>
      </c>
      <c r="H4" s="26" t="s">
        <v>17</v>
      </c>
      <c r="I4" s="33">
        <v>0.15</v>
      </c>
      <c r="J4" s="19" t="s">
        <v>16</v>
      </c>
      <c r="K4" s="35">
        <v>64</v>
      </c>
      <c r="L4" s="46">
        <f>C4/$B$19</f>
        <v>0.77611111111111108</v>
      </c>
      <c r="M4" s="38">
        <v>1.43</v>
      </c>
      <c r="N4" s="41">
        <v>1.02</v>
      </c>
      <c r="O4" s="2">
        <v>0.875</v>
      </c>
    </row>
    <row r="5" spans="1:15" x14ac:dyDescent="0.3">
      <c r="A5" s="14" t="s">
        <v>3</v>
      </c>
      <c r="B5" s="3">
        <v>9.7510000000000001E-4</v>
      </c>
      <c r="C5" s="1">
        <v>0.57599999999999996</v>
      </c>
      <c r="D5" s="20" t="s">
        <v>16</v>
      </c>
      <c r="E5" s="20" t="s">
        <v>16</v>
      </c>
      <c r="F5" s="1">
        <v>8.5800000000000001E-2</v>
      </c>
      <c r="G5" s="1">
        <v>0.14899999999999999</v>
      </c>
      <c r="H5" s="27" t="s">
        <v>19</v>
      </c>
      <c r="I5" s="31">
        <v>0.15</v>
      </c>
      <c r="J5" s="20" t="s">
        <v>16</v>
      </c>
      <c r="K5" s="32">
        <v>64</v>
      </c>
      <c r="L5" s="2">
        <f t="shared" ref="L5" si="0">C5/$B$19</f>
        <v>0.31999999999999995</v>
      </c>
      <c r="M5" s="39">
        <v>1.43</v>
      </c>
      <c r="N5" s="29">
        <v>1.02</v>
      </c>
      <c r="O5" s="1">
        <v>0.86250000000000004</v>
      </c>
    </row>
    <row r="6" spans="1:15" ht="15" thickBot="1" x14ac:dyDescent="0.35">
      <c r="A6" s="16" t="s">
        <v>4</v>
      </c>
      <c r="B6" s="5">
        <v>3.546E-4</v>
      </c>
      <c r="C6" s="7">
        <v>0.25800000000000001</v>
      </c>
      <c r="D6" s="21" t="s">
        <v>16</v>
      </c>
      <c r="E6" s="21" t="s">
        <v>16</v>
      </c>
      <c r="F6" s="7">
        <v>4.1500000000000002E-2</v>
      </c>
      <c r="G6" s="7">
        <v>0.17</v>
      </c>
      <c r="H6" s="28" t="s">
        <v>18</v>
      </c>
      <c r="I6" s="34">
        <v>0.15</v>
      </c>
      <c r="J6" s="21" t="s">
        <v>16</v>
      </c>
      <c r="K6" s="36" t="s">
        <v>141</v>
      </c>
      <c r="L6" s="46">
        <f>C6/$B$19</f>
        <v>0.14333333333333334</v>
      </c>
      <c r="M6" s="40">
        <v>1.43</v>
      </c>
      <c r="N6" s="42">
        <v>1.03833</v>
      </c>
      <c r="O6" s="7">
        <v>0.86199999999999999</v>
      </c>
    </row>
    <row r="7" spans="1:15" ht="15.6" thickTop="1" thickBot="1" x14ac:dyDescent="0.35">
      <c r="A7" s="74" t="s">
        <v>123</v>
      </c>
      <c r="B7" s="75"/>
      <c r="C7" s="75"/>
      <c r="D7" s="75"/>
      <c r="E7" s="75"/>
      <c r="F7" s="75"/>
      <c r="G7" s="75"/>
      <c r="H7" s="75"/>
      <c r="I7" s="67" t="s">
        <v>139</v>
      </c>
      <c r="J7" s="78"/>
      <c r="K7" s="78"/>
      <c r="L7" s="78"/>
      <c r="M7" s="78"/>
      <c r="N7" s="69" t="s">
        <v>140</v>
      </c>
      <c r="O7" s="70"/>
    </row>
    <row r="8" spans="1:15" ht="15" thickTop="1" x14ac:dyDescent="0.3">
      <c r="A8" s="13" t="s">
        <v>2</v>
      </c>
      <c r="B8" s="4">
        <v>1.60632E-2</v>
      </c>
      <c r="C8" s="19" t="s">
        <v>16</v>
      </c>
      <c r="D8" s="2">
        <v>1.3420000000000001</v>
      </c>
      <c r="E8" s="2">
        <v>0.14000000000000001</v>
      </c>
      <c r="F8" s="19" t="s">
        <v>16</v>
      </c>
      <c r="G8" s="19" t="s">
        <v>16</v>
      </c>
      <c r="H8" s="24" t="s">
        <v>16</v>
      </c>
      <c r="I8" s="45" t="s">
        <v>16</v>
      </c>
      <c r="J8" s="47">
        <f>E8/D8</f>
        <v>0.10432190760059613</v>
      </c>
      <c r="K8" s="37" t="s">
        <v>142</v>
      </c>
      <c r="L8" s="2">
        <v>0</v>
      </c>
      <c r="M8" s="38">
        <v>1.43</v>
      </c>
      <c r="N8" s="41">
        <v>0.91</v>
      </c>
      <c r="O8" s="2">
        <v>0.86250000000000004</v>
      </c>
    </row>
    <row r="9" spans="1:15" ht="15" thickBot="1" x14ac:dyDescent="0.35">
      <c r="A9" s="16" t="s">
        <v>156</v>
      </c>
      <c r="B9" s="5">
        <v>7.9210000000000001E-4</v>
      </c>
      <c r="C9" s="21" t="s">
        <v>16</v>
      </c>
      <c r="D9" s="7">
        <v>0.34499999999999997</v>
      </c>
      <c r="E9" s="7">
        <f>0.28*0.2032</f>
        <v>5.6896000000000002E-2</v>
      </c>
      <c r="F9" s="21" t="s">
        <v>16</v>
      </c>
      <c r="G9" s="21" t="s">
        <v>16</v>
      </c>
      <c r="H9" s="25" t="s">
        <v>16</v>
      </c>
      <c r="I9" s="44" t="s">
        <v>16</v>
      </c>
      <c r="J9" s="46">
        <f>E9/D9</f>
        <v>0.16491594202898552</v>
      </c>
      <c r="K9" s="36" t="s">
        <v>142</v>
      </c>
      <c r="L9" s="7">
        <v>0</v>
      </c>
      <c r="M9" s="40">
        <v>1.43</v>
      </c>
      <c r="N9" s="42">
        <v>0.93330000000000002</v>
      </c>
      <c r="O9" s="7">
        <v>0.86250000000000004</v>
      </c>
    </row>
    <row r="10" spans="1:15" ht="15.6" thickTop="1" thickBot="1" x14ac:dyDescent="0.35">
      <c r="A10" s="74" t="s">
        <v>124</v>
      </c>
      <c r="B10" s="75"/>
      <c r="C10" s="75"/>
      <c r="D10" s="75"/>
      <c r="E10" s="75"/>
      <c r="F10" s="75"/>
      <c r="G10" s="75"/>
      <c r="H10" s="75"/>
      <c r="I10" s="67" t="s">
        <v>139</v>
      </c>
      <c r="J10" s="68"/>
      <c r="K10" s="68"/>
      <c r="L10" s="68"/>
      <c r="M10" s="68"/>
      <c r="N10" s="69" t="s">
        <v>140</v>
      </c>
      <c r="O10" s="70"/>
    </row>
    <row r="11" spans="1:15" ht="15" thickTop="1" x14ac:dyDescent="0.3">
      <c r="A11" s="13" t="s">
        <v>159</v>
      </c>
      <c r="B11" s="4">
        <f>0.0035296/2</f>
        <v>1.7648E-3</v>
      </c>
      <c r="C11" s="2">
        <f>J22/1000</f>
        <v>0.61</v>
      </c>
      <c r="D11" s="2">
        <f>J22/1000</f>
        <v>0.61</v>
      </c>
      <c r="E11" s="19" t="s">
        <v>16</v>
      </c>
      <c r="F11" s="19" t="s">
        <v>16</v>
      </c>
      <c r="G11" s="19" t="s">
        <v>16</v>
      </c>
      <c r="H11" s="52" t="s">
        <v>149</v>
      </c>
      <c r="I11" s="51">
        <f>J21</f>
        <v>0.2857142857142857</v>
      </c>
      <c r="J11" s="19" t="s">
        <v>16</v>
      </c>
      <c r="K11" s="37" t="s">
        <v>141</v>
      </c>
      <c r="L11" s="46">
        <f>D11/B19</f>
        <v>0.33888888888888885</v>
      </c>
      <c r="M11" s="38">
        <v>1.43</v>
      </c>
      <c r="N11" s="41">
        <v>1.1000000000000001</v>
      </c>
      <c r="O11" s="2">
        <v>0.86250000000000004</v>
      </c>
    </row>
    <row r="12" spans="1:15" x14ac:dyDescent="0.3">
      <c r="A12" s="14" t="s">
        <v>6</v>
      </c>
      <c r="B12" s="3">
        <v>4.4910000000000002E-4</v>
      </c>
      <c r="C12" s="1">
        <f>F22/1000</f>
        <v>0.7</v>
      </c>
      <c r="D12" s="1">
        <f>F22/1000</f>
        <v>0.7</v>
      </c>
      <c r="E12" s="20" t="s">
        <v>16</v>
      </c>
      <c r="F12" s="20" t="s">
        <v>16</v>
      </c>
      <c r="G12" s="20" t="s">
        <v>16</v>
      </c>
      <c r="H12" s="53" t="s">
        <v>147</v>
      </c>
      <c r="I12" s="50">
        <f>F21</f>
        <v>0.24915596573736898</v>
      </c>
      <c r="J12" s="20" t="s">
        <v>16</v>
      </c>
      <c r="K12" s="48" t="s">
        <v>141</v>
      </c>
      <c r="L12" s="49">
        <f>C12/B19</f>
        <v>0.38888888888888884</v>
      </c>
      <c r="M12" s="39">
        <v>1.43</v>
      </c>
      <c r="N12" s="29">
        <v>1.1000000000000001</v>
      </c>
      <c r="O12" s="1">
        <v>0.86250000000000004</v>
      </c>
    </row>
    <row r="17" spans="1:15" ht="15" thickBot="1" x14ac:dyDescent="0.35">
      <c r="A17" s="72" t="s">
        <v>132</v>
      </c>
      <c r="B17" s="73"/>
      <c r="C17" s="73"/>
      <c r="E17" s="72" t="s">
        <v>143</v>
      </c>
      <c r="F17" s="73"/>
      <c r="G17" s="73"/>
      <c r="I17" s="72" t="s">
        <v>148</v>
      </c>
      <c r="J17" s="73"/>
      <c r="K17" s="73"/>
    </row>
    <row r="18" spans="1:15" ht="15.6" thickTop="1" thickBot="1" x14ac:dyDescent="0.35">
      <c r="A18" s="8" t="s">
        <v>20</v>
      </c>
      <c r="B18" s="17" t="s">
        <v>21</v>
      </c>
      <c r="C18" s="8" t="s">
        <v>126</v>
      </c>
      <c r="E18" s="8" t="s">
        <v>20</v>
      </c>
      <c r="F18" s="17" t="s">
        <v>21</v>
      </c>
      <c r="G18" s="8" t="s">
        <v>126</v>
      </c>
      <c r="I18" s="8" t="s">
        <v>20</v>
      </c>
      <c r="J18" s="17" t="s">
        <v>21</v>
      </c>
      <c r="K18" s="8" t="s">
        <v>126</v>
      </c>
      <c r="O18" s="54"/>
    </row>
    <row r="19" spans="1:15" ht="15" thickTop="1" x14ac:dyDescent="0.3">
      <c r="A19" s="13" t="s">
        <v>127</v>
      </c>
      <c r="B19" s="4">
        <f>TUNNEL!B2</f>
        <v>1.8</v>
      </c>
      <c r="C19" s="22" t="s">
        <v>120</v>
      </c>
      <c r="E19" s="13" t="s">
        <v>144</v>
      </c>
      <c r="F19" s="4">
        <v>16.899999999999999</v>
      </c>
      <c r="G19" s="22" t="s">
        <v>146</v>
      </c>
      <c r="I19" s="13" t="s">
        <v>144</v>
      </c>
      <c r="J19" s="4">
        <v>20</v>
      </c>
      <c r="K19" s="22" t="s">
        <v>146</v>
      </c>
    </row>
    <row r="20" spans="1:15" x14ac:dyDescent="0.3">
      <c r="A20" s="14" t="s">
        <v>128</v>
      </c>
      <c r="B20" s="3">
        <f>TUNNEL!B3</f>
        <v>1.25</v>
      </c>
      <c r="C20" s="23" t="s">
        <v>120</v>
      </c>
      <c r="E20" s="14" t="s">
        <v>145</v>
      </c>
      <c r="F20" s="3">
        <f>67.829</f>
        <v>67.828999999999994</v>
      </c>
      <c r="G20" s="23" t="s">
        <v>146</v>
      </c>
      <c r="I20" s="14" t="s">
        <v>145</v>
      </c>
      <c r="J20" s="3">
        <v>70</v>
      </c>
      <c r="K20" s="23" t="s">
        <v>146</v>
      </c>
    </row>
    <row r="21" spans="1:15" x14ac:dyDescent="0.3">
      <c r="A21" s="14" t="s">
        <v>122</v>
      </c>
      <c r="B21" s="3">
        <f>TUNNEL!B8</f>
        <v>1.44</v>
      </c>
      <c r="C21" s="23" t="s">
        <v>131</v>
      </c>
      <c r="E21" s="14" t="s">
        <v>112</v>
      </c>
      <c r="F21" s="3">
        <f>F19/F20</f>
        <v>0.24915596573736898</v>
      </c>
      <c r="G21" s="23" t="s">
        <v>131</v>
      </c>
      <c r="I21" s="14" t="s">
        <v>112</v>
      </c>
      <c r="J21" s="3">
        <f>J19/J20</f>
        <v>0.2857142857142857</v>
      </c>
      <c r="K21" s="23" t="s">
        <v>131</v>
      </c>
    </row>
    <row r="22" spans="1:15" x14ac:dyDescent="0.3">
      <c r="A22" s="14" t="s">
        <v>129</v>
      </c>
      <c r="B22" s="3">
        <f>TUNNEL!B7</f>
        <v>2.0699999999999998</v>
      </c>
      <c r="C22" s="23" t="s">
        <v>130</v>
      </c>
      <c r="E22" s="14" t="s">
        <v>8</v>
      </c>
      <c r="F22" s="3">
        <v>700</v>
      </c>
      <c r="G22" s="23" t="s">
        <v>146</v>
      </c>
      <c r="I22" s="14" t="s">
        <v>8</v>
      </c>
      <c r="J22" s="3">
        <v>610</v>
      </c>
      <c r="K22" s="23" t="s">
        <v>146</v>
      </c>
    </row>
    <row r="25" spans="1:15" x14ac:dyDescent="0.3">
      <c r="F25" s="59"/>
    </row>
    <row r="26" spans="1:15" x14ac:dyDescent="0.3">
      <c r="A26" s="63" t="s">
        <v>157</v>
      </c>
      <c r="B26" s="64"/>
      <c r="C26" s="64"/>
      <c r="D26" s="64"/>
      <c r="E26" s="64"/>
      <c r="F26" s="64"/>
      <c r="G26" s="64"/>
    </row>
    <row r="27" spans="1:15" ht="15" thickBot="1" x14ac:dyDescent="0.35">
      <c r="A27" s="15" t="s">
        <v>150</v>
      </c>
      <c r="B27" s="6" t="s">
        <v>7</v>
      </c>
      <c r="C27" s="10" t="s">
        <v>151</v>
      </c>
      <c r="D27" s="10" t="s">
        <v>137</v>
      </c>
      <c r="E27" s="10" t="s">
        <v>138</v>
      </c>
      <c r="F27" s="55" t="s">
        <v>152</v>
      </c>
      <c r="G27" s="57" t="s">
        <v>153</v>
      </c>
    </row>
    <row r="28" spans="1:15" ht="15" thickTop="1" x14ac:dyDescent="0.3">
      <c r="A28" s="13" t="s">
        <v>1</v>
      </c>
      <c r="B28" s="4">
        <f>B4</f>
        <v>3.0228999999999998E-3</v>
      </c>
      <c r="C28" s="2">
        <v>1</v>
      </c>
      <c r="D28" s="2">
        <f t="shared" ref="D28:E30" si="1">N4</f>
        <v>1.02</v>
      </c>
      <c r="E28" s="2">
        <f t="shared" si="1"/>
        <v>0.875</v>
      </c>
      <c r="F28" s="26">
        <f>$B$22</f>
        <v>2.0699999999999998</v>
      </c>
      <c r="G28" s="58">
        <f>C28*(D28*E28*B28)/(F28^1.5)</f>
        <v>9.0589213101597383E-4</v>
      </c>
    </row>
    <row r="29" spans="1:15" x14ac:dyDescent="0.3">
      <c r="A29" s="14" t="s">
        <v>154</v>
      </c>
      <c r="B29" s="3">
        <f>B5</f>
        <v>9.7510000000000001E-4</v>
      </c>
      <c r="C29" s="1">
        <v>1</v>
      </c>
      <c r="D29" s="1">
        <f t="shared" si="1"/>
        <v>1.02</v>
      </c>
      <c r="E29" s="1">
        <f t="shared" si="1"/>
        <v>0.86250000000000004</v>
      </c>
      <c r="F29" s="56">
        <f t="shared" ref="F29:F34" si="2">$B$22</f>
        <v>2.0699999999999998</v>
      </c>
      <c r="G29" s="29">
        <f t="shared" ref="G29:G34" si="3">C29*(D29*E29*B29)/(F29^1.5)</f>
        <v>2.88040073958326E-4</v>
      </c>
    </row>
    <row r="30" spans="1:15" x14ac:dyDescent="0.3">
      <c r="A30" s="14" t="s">
        <v>4</v>
      </c>
      <c r="B30" s="3">
        <f>B6</f>
        <v>3.546E-4</v>
      </c>
      <c r="C30" s="1">
        <v>1</v>
      </c>
      <c r="D30" s="1">
        <f t="shared" si="1"/>
        <v>1.03833</v>
      </c>
      <c r="E30" s="1">
        <f t="shared" si="1"/>
        <v>0.86199999999999999</v>
      </c>
      <c r="F30" s="56">
        <f t="shared" si="2"/>
        <v>2.0699999999999998</v>
      </c>
      <c r="G30" s="29">
        <f t="shared" si="3"/>
        <v>1.0656777073516555E-4</v>
      </c>
    </row>
    <row r="31" spans="1:15" x14ac:dyDescent="0.3">
      <c r="A31" s="14" t="s">
        <v>2</v>
      </c>
      <c r="B31" s="3">
        <f>B8</f>
        <v>1.60632E-2</v>
      </c>
      <c r="C31" s="1">
        <v>1</v>
      </c>
      <c r="D31" s="1">
        <f>N8</f>
        <v>0.91</v>
      </c>
      <c r="E31" s="1">
        <f>O8</f>
        <v>0.86250000000000004</v>
      </c>
      <c r="F31" s="56">
        <f t="shared" si="2"/>
        <v>2.0699999999999998</v>
      </c>
      <c r="G31" s="29">
        <f t="shared" si="3"/>
        <v>4.2332804856281391E-3</v>
      </c>
    </row>
    <row r="32" spans="1:15" x14ac:dyDescent="0.3">
      <c r="A32" s="14" t="s">
        <v>155</v>
      </c>
      <c r="B32" s="3">
        <f>B9</f>
        <v>7.9210000000000001E-4</v>
      </c>
      <c r="C32" s="1">
        <v>2</v>
      </c>
      <c r="D32" s="1">
        <f>N9</f>
        <v>0.93330000000000002</v>
      </c>
      <c r="E32" s="1">
        <f>O9</f>
        <v>0.86250000000000004</v>
      </c>
      <c r="F32" s="56">
        <f t="shared" si="2"/>
        <v>2.0699999999999998</v>
      </c>
      <c r="G32" s="29">
        <f t="shared" si="3"/>
        <v>4.2818836316867371E-4</v>
      </c>
    </row>
    <row r="33" spans="1:7" x14ac:dyDescent="0.3">
      <c r="A33" s="14" t="s">
        <v>5</v>
      </c>
      <c r="B33" s="3">
        <f>B11</f>
        <v>1.7648E-3</v>
      </c>
      <c r="C33" s="1">
        <v>2</v>
      </c>
      <c r="D33" s="1">
        <f>N11</f>
        <v>1.1000000000000001</v>
      </c>
      <c r="E33" s="1">
        <f>O11</f>
        <v>0.86250000000000004</v>
      </c>
      <c r="F33" s="56">
        <f t="shared" si="2"/>
        <v>2.0699999999999998</v>
      </c>
      <c r="G33" s="29">
        <f t="shared" si="3"/>
        <v>1.1244023936686617E-3</v>
      </c>
    </row>
    <row r="34" spans="1:7" ht="15" thickBot="1" x14ac:dyDescent="0.35">
      <c r="A34" s="14" t="s">
        <v>6</v>
      </c>
      <c r="B34" s="3">
        <f>B12</f>
        <v>4.4910000000000002E-4</v>
      </c>
      <c r="C34" s="1">
        <v>1</v>
      </c>
      <c r="D34" s="1">
        <f>N12</f>
        <v>1.1000000000000001</v>
      </c>
      <c r="E34" s="1">
        <f>O12</f>
        <v>0.86250000000000004</v>
      </c>
      <c r="F34" s="28">
        <f t="shared" si="2"/>
        <v>2.0699999999999998</v>
      </c>
      <c r="G34" s="60">
        <f t="shared" si="3"/>
        <v>1.4306695234491047E-4</v>
      </c>
    </row>
    <row r="35" spans="1:7" ht="15" thickBot="1" x14ac:dyDescent="0.35">
      <c r="F35" s="61" t="s">
        <v>158</v>
      </c>
      <c r="G35" s="62">
        <f>SUM(G28:G34)</f>
        <v>7.2294381705198503E-3</v>
      </c>
    </row>
    <row r="36" spans="1:7" ht="15" thickBot="1" x14ac:dyDescent="0.35"/>
    <row r="37" spans="1:7" ht="15" thickBot="1" x14ac:dyDescent="0.35">
      <c r="F37" s="79" t="s">
        <v>161</v>
      </c>
      <c r="G37" s="80">
        <f>G28+G31+G33+G34</f>
        <v>6.4066419626576856E-3</v>
      </c>
    </row>
  </sheetData>
  <mergeCells count="14">
    <mergeCell ref="A26:G26"/>
    <mergeCell ref="A1:O1"/>
    <mergeCell ref="I10:M10"/>
    <mergeCell ref="N7:O7"/>
    <mergeCell ref="N3:O3"/>
    <mergeCell ref="N10:O10"/>
    <mergeCell ref="E17:G17"/>
    <mergeCell ref="I17:K17"/>
    <mergeCell ref="A17:C17"/>
    <mergeCell ref="A7:H7"/>
    <mergeCell ref="A3:H3"/>
    <mergeCell ref="A10:H10"/>
    <mergeCell ref="I3:M3"/>
    <mergeCell ref="I7:M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3999-9250-4D69-A070-2D4E6C21A0D3}">
  <dimension ref="A1:B5"/>
  <sheetViews>
    <sheetView workbookViewId="0">
      <selection activeCell="B11" sqref="B11"/>
    </sheetView>
  </sheetViews>
  <sheetFormatPr defaultRowHeight="14.4" x14ac:dyDescent="0.3"/>
  <cols>
    <col min="1" max="1" width="18.88671875" customWidth="1"/>
    <col min="2" max="2" width="16.109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63</v>
      </c>
      <c r="B2" t="s">
        <v>64</v>
      </c>
    </row>
    <row r="3" spans="1:2" x14ac:dyDescent="0.3">
      <c r="A3" t="s">
        <v>24</v>
      </c>
      <c r="B3" t="s">
        <v>65</v>
      </c>
    </row>
    <row r="4" spans="1:2" x14ac:dyDescent="0.3">
      <c r="A4" t="s">
        <v>66</v>
      </c>
      <c r="B4" t="s">
        <v>67</v>
      </c>
    </row>
    <row r="5" spans="1:2" x14ac:dyDescent="0.3">
      <c r="A5" t="s">
        <v>68</v>
      </c>
      <c r="B5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CAF9-5330-4D80-8205-C3B2F3F18559}">
  <dimension ref="A1:B18"/>
  <sheetViews>
    <sheetView workbookViewId="0">
      <selection activeCell="E13" sqref="E13"/>
    </sheetView>
  </sheetViews>
  <sheetFormatPr defaultRowHeight="14.4" x14ac:dyDescent="0.3"/>
  <cols>
    <col min="1" max="1" width="29.5546875" customWidth="1"/>
    <col min="2" max="2" width="26.109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32</v>
      </c>
      <c r="B2" t="s">
        <v>33</v>
      </c>
    </row>
    <row r="3" spans="1:2" x14ac:dyDescent="0.3">
      <c r="A3" t="s">
        <v>34</v>
      </c>
      <c r="B3" t="s">
        <v>35</v>
      </c>
    </row>
    <row r="4" spans="1:2" x14ac:dyDescent="0.3">
      <c r="A4" t="s">
        <v>36</v>
      </c>
      <c r="B4" t="s">
        <v>37</v>
      </c>
    </row>
    <row r="5" spans="1:2" x14ac:dyDescent="0.3">
      <c r="A5" t="s">
        <v>38</v>
      </c>
      <c r="B5" t="s">
        <v>39</v>
      </c>
    </row>
    <row r="6" spans="1:2" x14ac:dyDescent="0.3">
      <c r="A6" t="s">
        <v>40</v>
      </c>
      <c r="B6" t="s">
        <v>41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43</v>
      </c>
    </row>
    <row r="9" spans="1:2" x14ac:dyDescent="0.3">
      <c r="A9" t="s">
        <v>45</v>
      </c>
      <c r="B9" t="s">
        <v>46</v>
      </c>
    </row>
    <row r="10" spans="1:2" x14ac:dyDescent="0.3">
      <c r="A10" t="s">
        <v>47</v>
      </c>
      <c r="B10" t="s">
        <v>48</v>
      </c>
    </row>
    <row r="11" spans="1:2" x14ac:dyDescent="0.3">
      <c r="A11" t="s">
        <v>49</v>
      </c>
      <c r="B11" t="s">
        <v>17</v>
      </c>
    </row>
    <row r="12" spans="1:2" x14ac:dyDescent="0.3">
      <c r="A12" t="s">
        <v>50</v>
      </c>
      <c r="B12" t="s">
        <v>51</v>
      </c>
    </row>
    <row r="13" spans="1:2" x14ac:dyDescent="0.3">
      <c r="A13" t="s">
        <v>52</v>
      </c>
      <c r="B13" t="s">
        <v>53</v>
      </c>
    </row>
    <row r="14" spans="1:2" x14ac:dyDescent="0.3">
      <c r="A14" t="s">
        <v>54</v>
      </c>
      <c r="B14" t="s">
        <v>55</v>
      </c>
    </row>
    <row r="15" spans="1:2" x14ac:dyDescent="0.3">
      <c r="A15" t="s">
        <v>56</v>
      </c>
      <c r="B15" t="s">
        <v>57</v>
      </c>
    </row>
    <row r="16" spans="1:2" x14ac:dyDescent="0.3">
      <c r="A16" t="s">
        <v>58</v>
      </c>
      <c r="B16" t="s">
        <v>59</v>
      </c>
    </row>
    <row r="17" spans="1:2" x14ac:dyDescent="0.3">
      <c r="A17" t="s">
        <v>60</v>
      </c>
      <c r="B17" t="s">
        <v>61</v>
      </c>
    </row>
    <row r="18" spans="1:2" x14ac:dyDescent="0.3">
      <c r="A18" t="s">
        <v>26</v>
      </c>
      <c r="B18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AC62-2666-4A5D-80B9-0D82AF074AF3}">
  <dimension ref="A1:C13"/>
  <sheetViews>
    <sheetView tabSelected="1" workbookViewId="0">
      <selection activeCell="E14" sqref="E14"/>
    </sheetView>
  </sheetViews>
  <sheetFormatPr defaultRowHeight="14.4" x14ac:dyDescent="0.3"/>
  <cols>
    <col min="1" max="1" width="16.44140625" customWidth="1"/>
  </cols>
  <sheetData>
    <row r="1" spans="1:3" ht="15" thickBot="1" x14ac:dyDescent="0.35"/>
    <row r="2" spans="1:3" ht="15.6" thickTop="1" thickBot="1" x14ac:dyDescent="0.35">
      <c r="A2" s="9" t="s">
        <v>20</v>
      </c>
      <c r="B2" s="9" t="s">
        <v>21</v>
      </c>
      <c r="C2" s="9" t="s">
        <v>126</v>
      </c>
    </row>
    <row r="3" spans="1:3" ht="15.6" thickTop="1" thickBot="1" x14ac:dyDescent="0.35">
      <c r="A3" s="82" t="s">
        <v>168</v>
      </c>
      <c r="B3" s="81"/>
      <c r="C3" s="81"/>
    </row>
    <row r="4" spans="1:3" ht="15" thickTop="1" x14ac:dyDescent="0.3">
      <c r="A4" s="2" t="s">
        <v>162</v>
      </c>
      <c r="B4" s="2">
        <v>8.98</v>
      </c>
      <c r="C4" s="22" t="s">
        <v>131</v>
      </c>
    </row>
    <row r="5" spans="1:3" x14ac:dyDescent="0.3">
      <c r="A5" s="1" t="s">
        <v>163</v>
      </c>
      <c r="B5" s="1">
        <v>0.2172</v>
      </c>
      <c r="C5" s="23" t="s">
        <v>170</v>
      </c>
    </row>
    <row r="6" spans="1:3" x14ac:dyDescent="0.3">
      <c r="A6" s="1" t="s">
        <v>164</v>
      </c>
      <c r="B6" s="1">
        <v>0.16500000000000001</v>
      </c>
      <c r="C6" s="23" t="s">
        <v>171</v>
      </c>
    </row>
    <row r="7" spans="1:3" ht="15" thickBot="1" x14ac:dyDescent="0.35">
      <c r="A7" s="83" t="s">
        <v>169</v>
      </c>
      <c r="B7" s="83"/>
      <c r="C7" s="83"/>
    </row>
    <row r="8" spans="1:3" ht="15" thickTop="1" x14ac:dyDescent="0.3">
      <c r="A8" s="2" t="s">
        <v>165</v>
      </c>
      <c r="B8" s="2">
        <v>3.87</v>
      </c>
      <c r="C8" s="22" t="s">
        <v>131</v>
      </c>
    </row>
    <row r="9" spans="1:3" x14ac:dyDescent="0.3">
      <c r="A9" s="1" t="s">
        <v>166</v>
      </c>
      <c r="B9" s="1">
        <v>8.5800000000000001E-2</v>
      </c>
      <c r="C9" s="23" t="s">
        <v>170</v>
      </c>
    </row>
    <row r="10" spans="1:3" x14ac:dyDescent="0.3">
      <c r="A10" s="1" t="s">
        <v>167</v>
      </c>
      <c r="B10" s="1">
        <v>0.53500000000000003</v>
      </c>
      <c r="C10" s="23" t="s">
        <v>171</v>
      </c>
    </row>
    <row r="11" spans="1:3" ht="15" thickBot="1" x14ac:dyDescent="0.35"/>
    <row r="12" spans="1:3" x14ac:dyDescent="0.3">
      <c r="A12" s="84" t="s">
        <v>172</v>
      </c>
      <c r="B12" s="85">
        <f>((0.1*B4)/(B8+2))*0.8</f>
        <v>0.12238500851788758</v>
      </c>
    </row>
    <row r="13" spans="1:3" ht="15" thickBot="1" x14ac:dyDescent="0.35">
      <c r="A13" s="86" t="s">
        <v>173</v>
      </c>
      <c r="B13" s="87">
        <f>-((B9*B10)/(B5*B6))*B12</f>
        <v>-0.15675648881066448</v>
      </c>
    </row>
  </sheetData>
  <mergeCells count="2">
    <mergeCell ref="A3:C3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5838-9803-4D28-BB5F-9527F2166E9C}">
  <dimension ref="A1:B6"/>
  <sheetViews>
    <sheetView workbookViewId="0">
      <selection activeCell="D22" sqref="D22"/>
    </sheetView>
  </sheetViews>
  <sheetFormatPr defaultRowHeight="14.4" x14ac:dyDescent="0.3"/>
  <cols>
    <col min="1" max="1" width="19" customWidth="1"/>
    <col min="2" max="2" width="18.218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22</v>
      </c>
      <c r="B2" t="s">
        <v>23</v>
      </c>
    </row>
    <row r="3" spans="1:2" x14ac:dyDescent="0.3">
      <c r="A3" t="s">
        <v>24</v>
      </c>
      <c r="B3" t="s">
        <v>25</v>
      </c>
    </row>
    <row r="4" spans="1:2" x14ac:dyDescent="0.3">
      <c r="A4" t="s">
        <v>26</v>
      </c>
      <c r="B4" t="s">
        <v>27</v>
      </c>
    </row>
    <row r="5" spans="1:2" x14ac:dyDescent="0.3">
      <c r="A5" t="s">
        <v>28</v>
      </c>
      <c r="B5" t="s">
        <v>29</v>
      </c>
    </row>
    <row r="6" spans="1:2" x14ac:dyDescent="0.3">
      <c r="A6" t="s">
        <v>30</v>
      </c>
      <c r="B6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65C0-CE32-4736-962B-594A33BDB19E}">
  <dimension ref="A1:B19"/>
  <sheetViews>
    <sheetView workbookViewId="0">
      <selection activeCell="C21" sqref="C21"/>
    </sheetView>
  </sheetViews>
  <sheetFormatPr defaultRowHeight="14.4" x14ac:dyDescent="0.3"/>
  <cols>
    <col min="1" max="1" width="31.77734375" customWidth="1"/>
    <col min="2" max="2" width="34.55468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70</v>
      </c>
      <c r="B2" t="s">
        <v>71</v>
      </c>
    </row>
    <row r="3" spans="1:2" x14ac:dyDescent="0.3">
      <c r="A3" t="s">
        <v>72</v>
      </c>
      <c r="B3" t="s">
        <v>73</v>
      </c>
    </row>
    <row r="4" spans="1:2" x14ac:dyDescent="0.3">
      <c r="A4" t="s">
        <v>36</v>
      </c>
      <c r="B4" t="s">
        <v>74</v>
      </c>
    </row>
    <row r="5" spans="1:2" x14ac:dyDescent="0.3">
      <c r="A5" t="s">
        <v>38</v>
      </c>
      <c r="B5" t="s">
        <v>75</v>
      </c>
    </row>
    <row r="6" spans="1:2" x14ac:dyDescent="0.3">
      <c r="A6" t="s">
        <v>40</v>
      </c>
      <c r="B6" t="s">
        <v>76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43</v>
      </c>
    </row>
    <row r="9" spans="1:2" x14ac:dyDescent="0.3">
      <c r="A9" t="s">
        <v>45</v>
      </c>
      <c r="B9" t="s">
        <v>77</v>
      </c>
    </row>
    <row r="10" spans="1:2" x14ac:dyDescent="0.3">
      <c r="A10" t="s">
        <v>47</v>
      </c>
      <c r="B10" t="s">
        <v>43</v>
      </c>
    </row>
    <row r="11" spans="1:2" x14ac:dyDescent="0.3">
      <c r="A11" t="s">
        <v>49</v>
      </c>
      <c r="B11" t="s">
        <v>78</v>
      </c>
    </row>
    <row r="12" spans="1:2" x14ac:dyDescent="0.3">
      <c r="A12" t="s">
        <v>79</v>
      </c>
      <c r="B12" t="s">
        <v>80</v>
      </c>
    </row>
    <row r="13" spans="1:2" x14ac:dyDescent="0.3">
      <c r="A13" t="s">
        <v>81</v>
      </c>
      <c r="B13" t="s">
        <v>82</v>
      </c>
    </row>
    <row r="14" spans="1:2" x14ac:dyDescent="0.3">
      <c r="A14" t="s">
        <v>83</v>
      </c>
      <c r="B14" t="s">
        <v>84</v>
      </c>
    </row>
    <row r="15" spans="1:2" x14ac:dyDescent="0.3">
      <c r="A15" t="s">
        <v>85</v>
      </c>
      <c r="B15" t="s">
        <v>86</v>
      </c>
    </row>
    <row r="16" spans="1:2" x14ac:dyDescent="0.3">
      <c r="A16" t="s">
        <v>87</v>
      </c>
      <c r="B16" t="s">
        <v>88</v>
      </c>
    </row>
    <row r="17" spans="1:2" x14ac:dyDescent="0.3">
      <c r="A17" t="s">
        <v>89</v>
      </c>
      <c r="B17" t="s">
        <v>90</v>
      </c>
    </row>
    <row r="18" spans="1:2" x14ac:dyDescent="0.3">
      <c r="A18" t="s">
        <v>91</v>
      </c>
      <c r="B18" t="s">
        <v>92</v>
      </c>
    </row>
    <row r="19" spans="1:2" x14ac:dyDescent="0.3">
      <c r="A19" t="s">
        <v>93</v>
      </c>
      <c r="B19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5ACF-DC54-43BC-95C8-1A622F1EFA29}">
  <dimension ref="A1:B17"/>
  <sheetViews>
    <sheetView workbookViewId="0">
      <selection activeCell="D20" sqref="D20"/>
    </sheetView>
  </sheetViews>
  <sheetFormatPr defaultRowHeight="14.4" x14ac:dyDescent="0.3"/>
  <cols>
    <col min="1" max="1" width="21.77734375" customWidth="1"/>
    <col min="2" max="2" width="22.77734375" customWidth="1"/>
  </cols>
  <sheetData>
    <row r="1" spans="1:2" x14ac:dyDescent="0.3">
      <c r="A1" t="s">
        <v>20</v>
      </c>
      <c r="B1" t="s">
        <v>21</v>
      </c>
    </row>
    <row r="2" spans="1:2" x14ac:dyDescent="0.3">
      <c r="A2" t="s">
        <v>32</v>
      </c>
      <c r="B2" t="s">
        <v>95</v>
      </c>
    </row>
    <row r="3" spans="1:2" x14ac:dyDescent="0.3">
      <c r="A3" t="s">
        <v>34</v>
      </c>
      <c r="B3" t="s">
        <v>96</v>
      </c>
    </row>
    <row r="4" spans="1:2" x14ac:dyDescent="0.3">
      <c r="A4" t="s">
        <v>36</v>
      </c>
      <c r="B4" t="s">
        <v>97</v>
      </c>
    </row>
    <row r="5" spans="1:2" x14ac:dyDescent="0.3">
      <c r="A5" t="s">
        <v>38</v>
      </c>
      <c r="B5" t="s">
        <v>98</v>
      </c>
    </row>
    <row r="6" spans="1:2" x14ac:dyDescent="0.3">
      <c r="A6" t="s">
        <v>40</v>
      </c>
      <c r="B6" t="s">
        <v>99</v>
      </c>
    </row>
    <row r="7" spans="1:2" x14ac:dyDescent="0.3">
      <c r="A7" t="s">
        <v>42</v>
      </c>
      <c r="B7" t="s">
        <v>100</v>
      </c>
    </row>
    <row r="8" spans="1:2" x14ac:dyDescent="0.3">
      <c r="A8" t="s">
        <v>44</v>
      </c>
      <c r="B8" t="s">
        <v>43</v>
      </c>
    </row>
    <row r="9" spans="1:2" x14ac:dyDescent="0.3">
      <c r="A9" t="s">
        <v>45</v>
      </c>
      <c r="B9" t="s">
        <v>43</v>
      </c>
    </row>
    <row r="10" spans="1:2" x14ac:dyDescent="0.3">
      <c r="A10" t="s">
        <v>47</v>
      </c>
      <c r="B10" t="s">
        <v>43</v>
      </c>
    </row>
    <row r="11" spans="1:2" x14ac:dyDescent="0.3">
      <c r="A11" t="s">
        <v>49</v>
      </c>
      <c r="B11" t="s">
        <v>18</v>
      </c>
    </row>
    <row r="12" spans="1:2" x14ac:dyDescent="0.3">
      <c r="A12" t="s">
        <v>101</v>
      </c>
      <c r="B12" t="s">
        <v>102</v>
      </c>
    </row>
    <row r="13" spans="1:2" x14ac:dyDescent="0.3">
      <c r="A13" t="s">
        <v>103</v>
      </c>
      <c r="B13" t="s">
        <v>104</v>
      </c>
    </row>
    <row r="14" spans="1:2" x14ac:dyDescent="0.3">
      <c r="A14" t="s">
        <v>105</v>
      </c>
      <c r="B14" t="s">
        <v>106</v>
      </c>
    </row>
    <row r="15" spans="1:2" x14ac:dyDescent="0.3">
      <c r="A15" t="s">
        <v>107</v>
      </c>
      <c r="B15" t="s">
        <v>108</v>
      </c>
    </row>
    <row r="16" spans="1:2" x14ac:dyDescent="0.3">
      <c r="A16" t="s">
        <v>109</v>
      </c>
      <c r="B16" t="s">
        <v>110</v>
      </c>
    </row>
    <row r="17" spans="1:2" x14ac:dyDescent="0.3">
      <c r="A17" t="s">
        <v>26</v>
      </c>
      <c r="B17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B0EA-C8E2-45E5-AB6B-358E6234C580}">
  <dimension ref="A1:C8"/>
  <sheetViews>
    <sheetView workbookViewId="0">
      <selection activeCell="B13" sqref="B13"/>
    </sheetView>
  </sheetViews>
  <sheetFormatPr defaultRowHeight="14.4" x14ac:dyDescent="0.3"/>
  <cols>
    <col min="1" max="1" width="21.77734375" customWidth="1"/>
  </cols>
  <sheetData>
    <row r="1" spans="1:3" x14ac:dyDescent="0.3">
      <c r="A1" s="1"/>
      <c r="B1" s="1" t="s">
        <v>118</v>
      </c>
      <c r="C1" s="1" t="s">
        <v>119</v>
      </c>
    </row>
    <row r="2" spans="1:3" x14ac:dyDescent="0.3">
      <c r="A2" s="1" t="s">
        <v>113</v>
      </c>
      <c r="B2" s="1">
        <v>1.8</v>
      </c>
      <c r="C2" s="1" t="s">
        <v>120</v>
      </c>
    </row>
    <row r="3" spans="1:3" x14ac:dyDescent="0.3">
      <c r="A3" s="1" t="s">
        <v>114</v>
      </c>
      <c r="B3" s="1">
        <v>1.25</v>
      </c>
      <c r="C3" s="1" t="s">
        <v>120</v>
      </c>
    </row>
    <row r="4" spans="1:3" x14ac:dyDescent="0.3">
      <c r="A4" s="1" t="s">
        <v>115</v>
      </c>
      <c r="B4" s="1">
        <v>0.3</v>
      </c>
      <c r="C4" s="1" t="s">
        <v>120</v>
      </c>
    </row>
    <row r="5" spans="1:3" x14ac:dyDescent="0.3">
      <c r="A5" s="1"/>
      <c r="B5" s="1"/>
      <c r="C5" s="1"/>
    </row>
    <row r="6" spans="1:3" x14ac:dyDescent="0.3">
      <c r="A6" s="1" t="s">
        <v>116</v>
      </c>
      <c r="B6" s="1">
        <f>B4*B4*0.5</f>
        <v>4.4999999999999998E-2</v>
      </c>
      <c r="C6" s="1" t="s">
        <v>121</v>
      </c>
    </row>
    <row r="7" spans="1:3" x14ac:dyDescent="0.3">
      <c r="A7" s="7" t="s">
        <v>117</v>
      </c>
      <c r="B7" s="7">
        <f>B2*B3-4*B6</f>
        <v>2.0699999999999998</v>
      </c>
      <c r="C7" s="7" t="s">
        <v>121</v>
      </c>
    </row>
    <row r="8" spans="1:3" x14ac:dyDescent="0.3">
      <c r="A8" s="1" t="s">
        <v>122</v>
      </c>
      <c r="B8" s="1">
        <f>B2/B3</f>
        <v>1.44</v>
      </c>
      <c r="C8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4474-71C3-4371-935C-8F12FA2B8A53}">
  <dimension ref="A2:C26"/>
  <sheetViews>
    <sheetView workbookViewId="0">
      <selection activeCell="V32" sqref="V32"/>
    </sheetView>
  </sheetViews>
  <sheetFormatPr defaultRowHeight="14.4" x14ac:dyDescent="0.3"/>
  <sheetData>
    <row r="2" spans="1:3" ht="15" thickBot="1" x14ac:dyDescent="0.35">
      <c r="A2" s="72" t="s">
        <v>143</v>
      </c>
      <c r="B2" s="73"/>
      <c r="C2" s="73"/>
    </row>
    <row r="3" spans="1:3" ht="15.6" thickTop="1" thickBot="1" x14ac:dyDescent="0.35">
      <c r="A3" s="8" t="s">
        <v>20</v>
      </c>
      <c r="B3" s="17" t="s">
        <v>21</v>
      </c>
      <c r="C3" s="8" t="s">
        <v>126</v>
      </c>
    </row>
    <row r="4" spans="1:3" ht="15" thickTop="1" x14ac:dyDescent="0.3">
      <c r="A4" s="13" t="s">
        <v>144</v>
      </c>
      <c r="B4" s="4">
        <v>16.899999999999999</v>
      </c>
      <c r="C4" s="22" t="s">
        <v>146</v>
      </c>
    </row>
    <row r="5" spans="1:3" x14ac:dyDescent="0.3">
      <c r="A5" s="14" t="s">
        <v>145</v>
      </c>
      <c r="B5" s="3">
        <f>67.829</f>
        <v>67.828999999999994</v>
      </c>
      <c r="C5" s="23" t="s">
        <v>146</v>
      </c>
    </row>
    <row r="6" spans="1:3" x14ac:dyDescent="0.3">
      <c r="A6" s="14" t="s">
        <v>112</v>
      </c>
      <c r="B6" s="3">
        <f>B4/B5</f>
        <v>0.24915596573736898</v>
      </c>
      <c r="C6" s="23" t="s">
        <v>131</v>
      </c>
    </row>
    <row r="7" spans="1:3" x14ac:dyDescent="0.3">
      <c r="A7" s="14" t="s">
        <v>8</v>
      </c>
      <c r="B7" s="3">
        <v>700</v>
      </c>
      <c r="C7" s="23" t="s">
        <v>146</v>
      </c>
    </row>
    <row r="21" spans="1:3" ht="15" thickBot="1" x14ac:dyDescent="0.35">
      <c r="A21" s="72" t="s">
        <v>148</v>
      </c>
      <c r="B21" s="73"/>
      <c r="C21" s="73"/>
    </row>
    <row r="22" spans="1:3" ht="15.6" thickTop="1" thickBot="1" x14ac:dyDescent="0.35">
      <c r="A22" s="8" t="s">
        <v>20</v>
      </c>
      <c r="B22" s="17" t="s">
        <v>21</v>
      </c>
      <c r="C22" s="8" t="s">
        <v>126</v>
      </c>
    </row>
    <row r="23" spans="1:3" ht="15" thickTop="1" x14ac:dyDescent="0.3">
      <c r="A23" s="13" t="s">
        <v>144</v>
      </c>
      <c r="B23" s="4">
        <v>20</v>
      </c>
      <c r="C23" s="22" t="s">
        <v>146</v>
      </c>
    </row>
    <row r="24" spans="1:3" x14ac:dyDescent="0.3">
      <c r="A24" s="14" t="s">
        <v>145</v>
      </c>
      <c r="B24" s="3">
        <v>70</v>
      </c>
      <c r="C24" s="23" t="s">
        <v>146</v>
      </c>
    </row>
    <row r="25" spans="1:3" x14ac:dyDescent="0.3">
      <c r="A25" s="14" t="s">
        <v>112</v>
      </c>
      <c r="B25" s="3">
        <f>B23/B24</f>
        <v>0.2857142857142857</v>
      </c>
      <c r="C25" s="23" t="s">
        <v>131</v>
      </c>
    </row>
    <row r="26" spans="1:3" x14ac:dyDescent="0.3">
      <c r="A26" s="14" t="s">
        <v>8</v>
      </c>
      <c r="B26" s="3">
        <v>610</v>
      </c>
      <c r="C26" s="23" t="s">
        <v>146</v>
      </c>
    </row>
  </sheetData>
  <mergeCells count="2">
    <mergeCell ref="A2:C2"/>
    <mergeCell ref="A21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solid_body_blockage</vt:lpstr>
      <vt:lpstr>PROP</vt:lpstr>
      <vt:lpstr>WING</vt:lpstr>
      <vt:lpstr>tail_correction</vt:lpstr>
      <vt:lpstr>FUSELAGE</vt:lpstr>
      <vt:lpstr>HORIZONTAL_TAIL</vt:lpstr>
      <vt:lpstr>VERTICAL_TAIL</vt:lpstr>
      <vt:lpstr>TUNNEL</vt:lpstr>
      <vt:lpstr>STRUTS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Douwe de Jong</dc:creator>
  <cp:lastModifiedBy>Douwe de Jong</cp:lastModifiedBy>
  <dcterms:created xsi:type="dcterms:W3CDTF">2026-03-15T14:34:58Z</dcterms:created>
  <dcterms:modified xsi:type="dcterms:W3CDTF">2026-03-19T22:17:58Z</dcterms:modified>
</cp:coreProperties>
</file>